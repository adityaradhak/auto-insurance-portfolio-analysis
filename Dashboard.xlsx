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7"/>
  <workbookPr/>
  <mc:AlternateContent xmlns:mc="http://schemas.openxmlformats.org/markup-compatibility/2006">
    <mc:Choice Requires="x15">
      <x15ac:absPath xmlns:x15ac="http://schemas.microsoft.com/office/spreadsheetml/2010/11/ac" url="https://d.docs.live.net/8814408BB761E479/Documents/"/>
    </mc:Choice>
  </mc:AlternateContent>
  <xr:revisionPtr revIDLastSave="0" documentId="8_{BD227F34-8383-4064-84C6-0CB2BDFE57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shboard" sheetId="5" r:id="rId1"/>
    <sheet name="Data_Portfolio_Summary" sheetId="1" r:id="rId2"/>
    <sheet name="Data_Vehicle_Type" sheetId="2" r:id="rId3"/>
    <sheet name="Data_Age_Band" sheetId="3" r:id="rId4"/>
    <sheet name="Data_Seasonality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B15" i="4"/>
  <c r="C7" i="3"/>
  <c r="B7" i="3"/>
  <c r="G8" i="2"/>
  <c r="F8" i="2"/>
  <c r="C8" i="2"/>
  <c r="B8" i="2"/>
</calcChain>
</file>

<file path=xl/sharedStrings.xml><?xml version="1.0" encoding="utf-8"?>
<sst xmlns="http://schemas.openxmlformats.org/spreadsheetml/2006/main" count="63" uniqueCount="50">
  <si>
    <t>Dashboard</t>
  </si>
  <si>
    <t>KPIs</t>
  </si>
  <si>
    <t>Total Policies</t>
  </si>
  <si>
    <t>Total Claims</t>
  </si>
  <si>
    <t>Average Severity</t>
  </si>
  <si>
    <t>Overall Loss Ratio</t>
  </si>
  <si>
    <t>Vehicle Type Analysis</t>
  </si>
  <si>
    <t>Age Band Analysis</t>
  </si>
  <si>
    <t>Seasonality</t>
  </si>
  <si>
    <t>Key Findings</t>
  </si>
  <si>
    <t>Summary Statistics</t>
  </si>
  <si>
    <t>total_policies</t>
  </si>
  <si>
    <t>total_claims</t>
  </si>
  <si>
    <t>claim_freq</t>
  </si>
  <si>
    <t>avg_severity</t>
  </si>
  <si>
    <t>total_premium</t>
  </si>
  <si>
    <t>total_loss</t>
  </si>
  <si>
    <t>loss_ratio</t>
  </si>
  <si>
    <t>Vehicle Type</t>
  </si>
  <si>
    <t>vehicle_type</t>
  </si>
  <si>
    <t>policies</t>
  </si>
  <si>
    <t>claims</t>
  </si>
  <si>
    <t>frequency</t>
  </si>
  <si>
    <t>total_prem</t>
  </si>
  <si>
    <t>Hybrid</t>
  </si>
  <si>
    <t>SUV</t>
  </si>
  <si>
    <t>Truck</t>
  </si>
  <si>
    <t>Sedan</t>
  </si>
  <si>
    <t>Sports</t>
  </si>
  <si>
    <t>Total</t>
  </si>
  <si>
    <t>Age Band</t>
  </si>
  <si>
    <t>age_groups</t>
  </si>
  <si>
    <t>severity</t>
  </si>
  <si>
    <t>18-25</t>
  </si>
  <si>
    <t>26-40</t>
  </si>
  <si>
    <t>41-65</t>
  </si>
  <si>
    <t>65+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</si>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</sst>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4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8" fontId="5" fillId="4" borderId="4" xfId="0" applyNumberFormat="1" applyFont="1" applyFill="1" applyBorder="1" applyAlignment="1">
      <alignment horizontal="center" vertical="center"/>
    </xf>
    <xf numFmtId="44" fontId="2" fillId="0" borderId="0" xfId="0" applyNumberFormat="1" applyFont="1"/>
    <xf numFmtId="44" fontId="2" fillId="0" borderId="0" xfId="1" applyFont="1"/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2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Ratio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6"/>
          <c:order val="6"/>
          <c:tx>
            <c:strRef>
              <c:f>Data_Vehicle_Type!$H$2</c:f>
              <c:strCache>
                <c:ptCount val="1"/>
                <c:pt idx="0">
                  <c:v>loss_ratio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Data_Vehicle_Type!$A$3:$A$7</c:f>
              <c:strCache>
                <c:ptCount val="5"/>
                <c:pt idx="0">
                  <c:v>Hybrid</c:v>
                </c:pt>
                <c:pt idx="1">
                  <c:v>SUV</c:v>
                </c:pt>
                <c:pt idx="2">
                  <c:v>Truck</c:v>
                </c:pt>
                <c:pt idx="3">
                  <c:v>Sedan</c:v>
                </c:pt>
                <c:pt idx="4">
                  <c:v>Sports</c:v>
                </c:pt>
              </c:strCache>
            </c:strRef>
          </c:cat>
          <c:val>
            <c:numRef>
              <c:f>Data_Vehicle_Type!$H$3:$H$7</c:f>
              <c:numCache>
                <c:formatCode>General</c:formatCode>
                <c:ptCount val="5"/>
                <c:pt idx="0">
                  <c:v>0.84889999999999999</c:v>
                </c:pt>
                <c:pt idx="1">
                  <c:v>0.7661</c:v>
                </c:pt>
                <c:pt idx="2">
                  <c:v>0.75349999999999995</c:v>
                </c:pt>
                <c:pt idx="3">
                  <c:v>0.6623</c:v>
                </c:pt>
                <c:pt idx="4">
                  <c:v>0.60899999999999999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34-412F-8977-9A6BE37998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3500559"/>
        <c:axId val="156350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Data_Vehicle_Type!$B$2</c15:sqref>
                        </c15:formulaRef>
                      </c:ext>
                    </c:extLst>
                    <c:strCache>
                      <c:ptCount val="1"/>
                      <c:pt idx="0">
                        <c:v>policies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Data_Vehicle_Type!$A$3:$A$7</c15:sqref>
                        </c15:formulaRef>
                      </c:ext>
                    </c:extLst>
                    <c:strCache>
                      <c:ptCount val="5"/>
                      <c:pt idx="0">
                        <c:v>Hybrid</c:v>
                      </c:pt>
                      <c:pt idx="1">
                        <c:v>SUV</c:v>
                      </c:pt>
                      <c:pt idx="2">
                        <c:v>Truck</c:v>
                      </c:pt>
                      <c:pt idx="3">
                        <c:v>Sedan</c:v>
                      </c:pt>
                      <c:pt idx="4">
                        <c:v>Sports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Data_Vehicle_Type!$B$3:$B$7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2028</c:v>
                      </c:pt>
                      <c:pt idx="1">
                        <c:v>2032</c:v>
                      </c:pt>
                      <c:pt idx="2">
                        <c:v>1925</c:v>
                      </c:pt>
                      <c:pt idx="3">
                        <c:v>2016</c:v>
                      </c:pt>
                      <c:pt idx="4">
                        <c:v>1999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934-412F-8977-9A6BE37998A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Data_Vehicle_Type!$C$2</c15:sqref>
                        </c15:formulaRef>
                      </c:ext>
                    </c:extLst>
                    <c:strCache>
                      <c:ptCount val="1"/>
                      <c:pt idx="0">
                        <c:v>claims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Data_Vehicle_Type!$A$3:$A$7</c15:sqref>
                        </c15:formulaRef>
                      </c:ext>
                    </c:extLst>
                    <c:strCache>
                      <c:ptCount val="5"/>
                      <c:pt idx="0">
                        <c:v>Hybrid</c:v>
                      </c:pt>
                      <c:pt idx="1">
                        <c:v>SUV</c:v>
                      </c:pt>
                      <c:pt idx="2">
                        <c:v>Truck</c:v>
                      </c:pt>
                      <c:pt idx="3">
                        <c:v>Sedan</c:v>
                      </c:pt>
                      <c:pt idx="4">
                        <c:v>Sports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Data_Vehicle_Type!$C$3:$C$7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164</c:v>
                      </c:pt>
                      <c:pt idx="1">
                        <c:v>200</c:v>
                      </c:pt>
                      <c:pt idx="2">
                        <c:v>157</c:v>
                      </c:pt>
                      <c:pt idx="3">
                        <c:v>145</c:v>
                      </c:pt>
                      <c:pt idx="4">
                        <c:v>283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934-412F-8977-9A6BE37998A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Data_Vehicle_Type!$D$2</c15:sqref>
                        </c15:formulaRef>
                      </c:ext>
                    </c:extLst>
                    <c:strCache>
                      <c:ptCount val="1"/>
                      <c:pt idx="0">
                        <c:v>frequency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Data_Vehicle_Type!$A$3:$A$7</c15:sqref>
                        </c15:formulaRef>
                      </c:ext>
                    </c:extLst>
                    <c:strCache>
                      <c:ptCount val="5"/>
                      <c:pt idx="0">
                        <c:v>Hybrid</c:v>
                      </c:pt>
                      <c:pt idx="1">
                        <c:v>SUV</c:v>
                      </c:pt>
                      <c:pt idx="2">
                        <c:v>Truck</c:v>
                      </c:pt>
                      <c:pt idx="3">
                        <c:v>Sedan</c:v>
                      </c:pt>
                      <c:pt idx="4">
                        <c:v>Sports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8.09E-2</c:v>
                      </c:pt>
                      <c:pt idx="1">
                        <c:v>9.8400000000000001E-2</c:v>
                      </c:pt>
                      <c:pt idx="2">
                        <c:v>8.1600000000000006E-2</c:v>
                      </c:pt>
                      <c:pt idx="3">
                        <c:v>7.1900000000000006E-2</c:v>
                      </c:pt>
                      <c:pt idx="4">
                        <c:v>0.1416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934-412F-8977-9A6BE37998A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Data_Vehicle_Type!$E$2</c15:sqref>
                        </c15:formulaRef>
                      </c:ext>
                    </c:extLst>
                    <c:strCache>
                      <c:ptCount val="1"/>
                      <c:pt idx="0">
                        <c:v>avg_severity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Data_Vehicle_Type!$A$3:$A$7</c15:sqref>
                        </c15:formulaRef>
                      </c:ext>
                    </c:extLst>
                    <c:strCache>
                      <c:ptCount val="5"/>
                      <c:pt idx="0">
                        <c:v>Hybrid</c:v>
                      </c:pt>
                      <c:pt idx="1">
                        <c:v>SUV</c:v>
                      </c:pt>
                      <c:pt idx="2">
                        <c:v>Truck</c:v>
                      </c:pt>
                      <c:pt idx="3">
                        <c:v>Sedan</c:v>
                      </c:pt>
                      <c:pt idx="4">
                        <c:v>Sports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Data_Vehicle_Type!$E$3:$E$7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"/>
                      <c:pt idx="0">
                        <c:v>3432.27</c:v>
                      </c:pt>
                      <c:pt idx="1">
                        <c:v>3067.92</c:v>
                      </c:pt>
                      <c:pt idx="2">
                        <c:v>3009.48</c:v>
                      </c:pt>
                      <c:pt idx="3">
                        <c:v>2999.42</c:v>
                      </c:pt>
                      <c:pt idx="4">
                        <c:v>6301.49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934-412F-8977-9A6BE37998A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Data_Vehicle_Type!$F$2</c15:sqref>
                        </c15:formulaRef>
                      </c:ext>
                    </c:extLst>
                    <c:strCache>
                      <c:ptCount val="1"/>
                      <c:pt idx="0">
                        <c:v>total_prem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Data_Vehicle_Type!$A$3:$A$7</c15:sqref>
                        </c15:formulaRef>
                      </c:ext>
                    </c:extLst>
                    <c:strCache>
                      <c:ptCount val="5"/>
                      <c:pt idx="0">
                        <c:v>Hybrid</c:v>
                      </c:pt>
                      <c:pt idx="1">
                        <c:v>SUV</c:v>
                      </c:pt>
                      <c:pt idx="2">
                        <c:v>Truck</c:v>
                      </c:pt>
                      <c:pt idx="3">
                        <c:v>Sedan</c:v>
                      </c:pt>
                      <c:pt idx="4">
                        <c:v>Sports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Data_Vehicle_Type!$F$3:$F$7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"/>
                      <c:pt idx="0">
                        <c:v>663096</c:v>
                      </c:pt>
                      <c:pt idx="1">
                        <c:v>800889.6</c:v>
                      </c:pt>
                      <c:pt idx="2">
                        <c:v>627032</c:v>
                      </c:pt>
                      <c:pt idx="3">
                        <c:v>656712</c:v>
                      </c:pt>
                      <c:pt idx="4">
                        <c:v>2928492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34-412F-8977-9A6BE37998A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Data_Vehicle_Type!$G$2</c15:sqref>
                        </c15:formulaRef>
                      </c:ext>
                    </c:extLst>
                    <c:strCache>
                      <c:ptCount val="1"/>
                      <c:pt idx="0">
                        <c:v>total_loss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Data_Vehicle_Type!$A$3:$A$7</c15:sqref>
                        </c15:formulaRef>
                      </c:ext>
                    </c:extLst>
                    <c:strCache>
                      <c:ptCount val="5"/>
                      <c:pt idx="0">
                        <c:v>Hybrid</c:v>
                      </c:pt>
                      <c:pt idx="1">
                        <c:v>SUV</c:v>
                      </c:pt>
                      <c:pt idx="2">
                        <c:v>Truck</c:v>
                      </c:pt>
                      <c:pt idx="3">
                        <c:v>Sedan</c:v>
                      </c:pt>
                      <c:pt idx="4">
                        <c:v>Sports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Data_Vehicle_Type!$G$3:$G$7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"/>
                      <c:pt idx="0">
                        <c:v>562892.67000000004</c:v>
                      </c:pt>
                      <c:pt idx="1">
                        <c:v>613584.12</c:v>
                      </c:pt>
                      <c:pt idx="2">
                        <c:v>472488.28</c:v>
                      </c:pt>
                      <c:pt idx="3">
                        <c:v>434915.95</c:v>
                      </c:pt>
                      <c:pt idx="4">
                        <c:v>1783322.52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34-412F-8977-9A6BE37998AD}"/>
                  </c:ext>
                </c:extLst>
              </c15:ser>
            </c15:filteredBarSeries>
          </c:ext>
        </c:extLst>
      </c:barChart>
      <c:catAx>
        <c:axId val="156350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04879"/>
        <c:crosses val="autoZero"/>
        <c:auto val="1"/>
        <c:lblAlgn val="ctr"/>
        <c:lblOffset val="100"/>
        <c:noMultiLvlLbl val="0"/>
      </c:catAx>
      <c:valAx>
        <c:axId val="156350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0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vs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Data_Vehicle_Type!$A$3</c:f>
              <c:strCache>
                <c:ptCount val="1"/>
                <c:pt idx="0">
                  <c:v>Hybrid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Data_Vehicle_Type!$D$3</c:f>
              <c:numCache>
                <c:formatCode>General</c:formatCode>
                <c:ptCount val="1"/>
                <c:pt idx="0">
                  <c:v>8.09E-2</c:v>
                </c:pt>
              </c:numCache>
            </c:numRef>
          </c:xVal>
          <c:yVal>
            <c:numRef>
              <c:f>Data_Vehicle_Type!$E$3</c:f>
              <c:numCache>
                <c:formatCode>_("$"* #,##0.00_);_("$"* \(#,##0.00\);_("$"* "-"??_);_(@_)</c:formatCode>
                <c:ptCount val="1"/>
                <c:pt idx="0">
                  <c:v>3432.27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82-4CB7-8477-D8C37A0A76A6}"/>
            </c:ext>
          </c:extLst>
        </c:ser>
        <c:ser>
          <c:idx val="1"/>
          <c:order val="1"/>
          <c:tx>
            <c:strRef>
              <c:f>Data_Vehicle_Type!$A$4</c:f>
              <c:strCache>
                <c:ptCount val="1"/>
                <c:pt idx="0">
                  <c:v>SUV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Data_Vehicle_Type!$D$4</c:f>
              <c:numCache>
                <c:formatCode>General</c:formatCode>
                <c:ptCount val="1"/>
                <c:pt idx="0">
                  <c:v>9.8400000000000001E-2</c:v>
                </c:pt>
              </c:numCache>
            </c:numRef>
          </c:xVal>
          <c:yVal>
            <c:numRef>
              <c:f>Data_Vehicle_Type!$E$4</c:f>
              <c:numCache>
                <c:formatCode>_("$"* #,##0.00_);_("$"* \(#,##0.00\);_("$"* "-"??_);_(@_)</c:formatCode>
                <c:ptCount val="1"/>
                <c:pt idx="0">
                  <c:v>3067.92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82-4CB7-8477-D8C37A0A76A6}"/>
            </c:ext>
          </c:extLst>
        </c:ser>
        <c:ser>
          <c:idx val="2"/>
          <c:order val="2"/>
          <c:tx>
            <c:strRef>
              <c:f>Data_Vehicle_Type!$A$5</c:f>
              <c:strCache>
                <c:ptCount val="1"/>
                <c:pt idx="0">
                  <c:v>Truck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Data_Vehicle_Type!$D$5</c:f>
              <c:numCache>
                <c:formatCode>General</c:formatCode>
                <c:ptCount val="1"/>
                <c:pt idx="0">
                  <c:v>8.1600000000000006E-2</c:v>
                </c:pt>
              </c:numCache>
            </c:numRef>
          </c:xVal>
          <c:yVal>
            <c:numRef>
              <c:f>Data_Vehicle_Type!$E$5</c:f>
              <c:numCache>
                <c:formatCode>_("$"* #,##0.00_);_("$"* \(#,##0.00\);_("$"* "-"??_);_(@_)</c:formatCode>
                <c:ptCount val="1"/>
                <c:pt idx="0">
                  <c:v>3009.48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82-4CB7-8477-D8C37A0A76A6}"/>
            </c:ext>
          </c:extLst>
        </c:ser>
        <c:ser>
          <c:idx val="3"/>
          <c:order val="3"/>
          <c:tx>
            <c:strRef>
              <c:f>Data_Vehicle_Type!$A$6</c:f>
              <c:strCache>
                <c:ptCount val="1"/>
                <c:pt idx="0">
                  <c:v>Sedan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Data_Vehicle_Type!$D$6</c:f>
              <c:numCache>
                <c:formatCode>General</c:formatCode>
                <c:ptCount val="1"/>
                <c:pt idx="0">
                  <c:v>7.1900000000000006E-2</c:v>
                </c:pt>
              </c:numCache>
            </c:numRef>
          </c:xVal>
          <c:yVal>
            <c:numRef>
              <c:f>Data_Vehicle_Type!$E$6</c:f>
              <c:numCache>
                <c:formatCode>_("$"* #,##0.00_);_("$"* \(#,##0.00\);_("$"* "-"??_);_(@_)</c:formatCode>
                <c:ptCount val="1"/>
                <c:pt idx="0">
                  <c:v>2999.42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82-4CB7-8477-D8C37A0A76A6}"/>
            </c:ext>
          </c:extLst>
        </c:ser>
        <c:ser>
          <c:idx val="4"/>
          <c:order val="4"/>
          <c:tx>
            <c:strRef>
              <c:f>Data_Vehicle_Type!$A$7</c:f>
              <c:strCache>
                <c:ptCount val="1"/>
                <c:pt idx="0">
                  <c:v>Sports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Data_Vehicle_Type!$D$7</c:f>
              <c:numCache>
                <c:formatCode>General</c:formatCode>
                <c:ptCount val="1"/>
                <c:pt idx="0">
                  <c:v>0.1416</c:v>
                </c:pt>
              </c:numCache>
            </c:numRef>
          </c:xVal>
          <c:yVal>
            <c:numRef>
              <c:f>Data_Vehicle_Type!$E$7</c:f>
              <c:numCache>
                <c:formatCode>_("$"* #,##0.00_);_("$"* \(#,##0.00\);_("$"* "-"??_);_(@_)</c:formatCode>
                <c:ptCount val="1"/>
                <c:pt idx="0">
                  <c:v>6301.49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82-4CB7-8477-D8C37A0A7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301711"/>
        <c:axId val="1629299791"/>
      </c:scatterChart>
      <c:valAx>
        <c:axId val="1629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99791"/>
        <c:crosses val="autoZero"/>
        <c:crossBetween val="midCat"/>
      </c:valAx>
      <c:valAx>
        <c:axId val="162929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01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and Loss Ratio</a:t>
            </a:r>
            <a:r>
              <a:rPr lang="en-US" baseline="0"/>
              <a:t>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Data_Age_Band!$A$3</c:f>
              <c:strCache>
                <c:ptCount val="1"/>
                <c:pt idx="0">
                  <c:v>18-25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(Data_Age_Band!$D$2,Data_Age_Band!$F$2)</c:f>
              <c:strCache>
                <c:ptCount val="2"/>
                <c:pt idx="0">
                  <c:v>frequency</c:v>
                </c:pt>
                <c:pt idx="1">
                  <c:v>loss_ratio</c:v>
                </c:pt>
              </c:strCache>
            </c:strRef>
          </c:cat>
          <c:val>
            <c:numRef>
              <c:f>(Data_Age_Band!$D$3,Data_Age_Band!$F$3)</c:f>
              <c:numCache>
                <c:formatCode>General</c:formatCode>
                <c:ptCount val="2"/>
                <c:pt idx="0">
                  <c:v>0.1216</c:v>
                </c:pt>
                <c:pt idx="1">
                  <c:v>0.62939999999999996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B-4AFD-9370-6B4151225A9A}"/>
            </c:ext>
          </c:extLst>
        </c:ser>
        <c:ser>
          <c:idx val="1"/>
          <c:order val="1"/>
          <c:tx>
            <c:strRef>
              <c:f>Data_Age_Band!$A$4</c:f>
              <c:strCache>
                <c:ptCount val="1"/>
                <c:pt idx="0">
                  <c:v>26-40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(Data_Age_Band!$D$2,Data_Age_Band!$F$2)</c:f>
              <c:strCache>
                <c:ptCount val="2"/>
                <c:pt idx="0">
                  <c:v>frequency</c:v>
                </c:pt>
                <c:pt idx="1">
                  <c:v>loss_ratio</c:v>
                </c:pt>
              </c:strCache>
            </c:strRef>
          </c:cat>
          <c:val>
            <c:numRef>
              <c:f>(Data_Age_Band!$D$4,Data_Age_Band!$F$4)</c:f>
              <c:numCache>
                <c:formatCode>General</c:formatCode>
                <c:ptCount val="2"/>
                <c:pt idx="0">
                  <c:v>8.0299999999999996E-2</c:v>
                </c:pt>
                <c:pt idx="1">
                  <c:v>0.67710000000000004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0-4D7B-8487-84E73424D1AF}"/>
            </c:ext>
          </c:extLst>
        </c:ser>
        <c:ser>
          <c:idx val="2"/>
          <c:order val="2"/>
          <c:tx>
            <c:strRef>
              <c:f>Data_Age_Band!$A$5</c:f>
              <c:strCache>
                <c:ptCount val="1"/>
                <c:pt idx="0">
                  <c:v>41-65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(Data_Age_Band!$D$2,Data_Age_Band!$F$2)</c:f>
              <c:strCache>
                <c:ptCount val="2"/>
                <c:pt idx="0">
                  <c:v>frequency</c:v>
                </c:pt>
                <c:pt idx="1">
                  <c:v>loss_ratio</c:v>
                </c:pt>
              </c:strCache>
            </c:strRef>
          </c:cat>
          <c:val>
            <c:numRef>
              <c:f>(Data_Age_Band!$D$5,Data_Age_Band!$F$5)</c:f>
              <c:numCache>
                <c:formatCode>General</c:formatCode>
                <c:ptCount val="2"/>
                <c:pt idx="0">
                  <c:v>8.2100000000000006E-2</c:v>
                </c:pt>
                <c:pt idx="1">
                  <c:v>0.68769999999999998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0-4D7B-8487-84E73424D1AF}"/>
            </c:ext>
          </c:extLst>
        </c:ser>
        <c:ser>
          <c:idx val="3"/>
          <c:order val="3"/>
          <c:tx>
            <c:strRef>
              <c:f>Data_Age_Band!$A$6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(Data_Age_Band!$D$2,Data_Age_Band!$F$2)</c:f>
              <c:strCache>
                <c:ptCount val="2"/>
                <c:pt idx="0">
                  <c:v>frequency</c:v>
                </c:pt>
                <c:pt idx="1">
                  <c:v>loss_ratio</c:v>
                </c:pt>
              </c:strCache>
            </c:strRef>
          </c:cat>
          <c:val>
            <c:numRef>
              <c:f>(Data_Age_Band!$D$6,Data_Age_Band!$F$6)</c:f>
              <c:numCache>
                <c:formatCode>General</c:formatCode>
                <c:ptCount val="2"/>
                <c:pt idx="0">
                  <c:v>0.13189999999999999</c:v>
                </c:pt>
                <c:pt idx="1">
                  <c:v>0.71719999999999995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E0-4D7B-8487-84E73424D1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255312"/>
        <c:axId val="106260592"/>
      </c:barChart>
      <c:catAx>
        <c:axId val="10625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0592"/>
        <c:crosses val="autoZero"/>
        <c:auto val="1"/>
        <c:lblAlgn val="ctr"/>
        <c:lblOffset val="100"/>
        <c:noMultiLvlLbl val="0"/>
      </c:catAx>
      <c:valAx>
        <c:axId val="1062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Claims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Data_Seasonality!$B$2</c:f>
              <c:strCache>
                <c:ptCount val="1"/>
                <c:pt idx="0">
                  <c:v>claims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Data_Seasonality!$A$3:$A$14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Data_Seasonality!$B$3:$B$14</c:f>
              <c:numCache>
                <c:formatCode>General</c:formatCode>
                <c:ptCount val="12"/>
                <c:pt idx="0">
                  <c:v>112</c:v>
                </c:pt>
                <c:pt idx="1">
                  <c:v>95</c:v>
                </c:pt>
                <c:pt idx="2">
                  <c:v>73</c:v>
                </c:pt>
                <c:pt idx="3">
                  <c:v>58</c:v>
                </c:pt>
                <c:pt idx="4">
                  <c:v>56</c:v>
                </c:pt>
                <c:pt idx="5">
                  <c:v>60</c:v>
                </c:pt>
                <c:pt idx="6">
                  <c:v>62</c:v>
                </c:pt>
                <c:pt idx="7">
                  <c:v>87</c:v>
                </c:pt>
                <c:pt idx="8">
                  <c:v>68</c:v>
                </c:pt>
                <c:pt idx="9">
                  <c:v>79</c:v>
                </c:pt>
                <c:pt idx="10">
                  <c:v>98</c:v>
                </c:pt>
                <c:pt idx="11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A-4B2F-ACD0-BAA6D35736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219792"/>
        <c:axId val="943222192"/>
      </c:lineChart>
      <c:catAx>
        <c:axId val="9432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22192"/>
        <c:crosses val="autoZero"/>
        <c:auto val="1"/>
        <c:lblAlgn val="ctr"/>
        <c:lblOffset val="100"/>
        <c:noMultiLvlLbl val="0"/>
      </c:catAx>
      <c:valAx>
        <c:axId val="94322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1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5</xdr:row>
      <xdr:rowOff>34290</xdr:rowOff>
    </xdr:from>
    <xdr:to>
      <xdr:col>1</xdr:col>
      <xdr:colOff>2560320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6AF10-C006-BD87-29AE-9C25A2BD1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22</xdr:row>
      <xdr:rowOff>7620</xdr:rowOff>
    </xdr:from>
    <xdr:to>
      <xdr:col>1</xdr:col>
      <xdr:colOff>1371600</xdr:colOff>
      <xdr:row>24</xdr:row>
      <xdr:rowOff>121920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A13EF74-E33B-1941-3090-F99C3520267E}"/>
            </a:ext>
          </a:extLst>
        </xdr:cNvPr>
        <xdr:cNvSpPr/>
      </xdr:nvSpPr>
      <xdr:spPr>
        <a:xfrm>
          <a:off x="1066800" y="5204460"/>
          <a:ext cx="2971800" cy="4800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Hybrids</a:t>
          </a:r>
          <a:r>
            <a:rPr lang="en-US" sz="1100" baseline="0"/>
            <a:t> show a higher than expected loss ratio, likely due to outlying claims.</a:t>
          </a:r>
          <a:endParaRPr lang="en-US" sz="1100"/>
        </a:p>
      </xdr:txBody>
    </xdr:sp>
    <xdr:clientData/>
  </xdr:twoCellAnchor>
  <xdr:twoCellAnchor>
    <xdr:from>
      <xdr:col>2</xdr:col>
      <xdr:colOff>83820</xdr:colOff>
      <xdr:row>5</xdr:row>
      <xdr:rowOff>34290</xdr:rowOff>
    </xdr:from>
    <xdr:to>
      <xdr:col>3</xdr:col>
      <xdr:colOff>2590800</xdr:colOff>
      <xdr:row>21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8233B7-0778-EA5E-F6F3-C0558BAED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457200</xdr:colOff>
      <xdr:row>22</xdr:row>
      <xdr:rowOff>7620</xdr:rowOff>
    </xdr:from>
    <xdr:to>
      <xdr:col>3</xdr:col>
      <xdr:colOff>2186940</xdr:colOff>
      <xdr:row>24</xdr:row>
      <xdr:rowOff>121920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963DE7D-5E73-4CFC-B672-8B25DF56F72C}"/>
            </a:ext>
          </a:extLst>
        </xdr:cNvPr>
        <xdr:cNvSpPr/>
      </xdr:nvSpPr>
      <xdr:spPr>
        <a:xfrm>
          <a:off x="5791200" y="5204460"/>
          <a:ext cx="4396740" cy="4800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Sports cars show higher frequency and severity but lower loss</a:t>
          </a:r>
          <a:r>
            <a:rPr lang="en-US" sz="1100" baseline="0"/>
            <a:t> ratio due to </a:t>
          </a:r>
          <a:r>
            <a:rPr lang="en-US" sz="1100" b="1" baseline="0"/>
            <a:t>conservative pricing assumptions</a:t>
          </a:r>
          <a:r>
            <a:rPr lang="en-US" sz="1100" baseline="0"/>
            <a:t>.</a:t>
          </a:r>
          <a:endParaRPr lang="en-US" sz="1100"/>
        </a:p>
      </xdr:txBody>
    </xdr:sp>
    <xdr:clientData/>
  </xdr:twoCellAnchor>
  <xdr:twoCellAnchor>
    <xdr:from>
      <xdr:col>3</xdr:col>
      <xdr:colOff>1234440</xdr:colOff>
      <xdr:row>8</xdr:row>
      <xdr:rowOff>76200</xdr:rowOff>
    </xdr:from>
    <xdr:to>
      <xdr:col>3</xdr:col>
      <xdr:colOff>1440180</xdr:colOff>
      <xdr:row>9</xdr:row>
      <xdr:rowOff>99060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BF3065D-5670-2AC6-40E8-8B1C771241DB}"/>
            </a:ext>
          </a:extLst>
        </xdr:cNvPr>
        <xdr:cNvSpPr/>
      </xdr:nvSpPr>
      <xdr:spPr>
        <a:xfrm>
          <a:off x="9235440" y="2712720"/>
          <a:ext cx="205740" cy="20574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929640</xdr:colOff>
      <xdr:row>8</xdr:row>
      <xdr:rowOff>76200</xdr:rowOff>
    </xdr:from>
    <xdr:to>
      <xdr:col>1</xdr:col>
      <xdr:colOff>1287780</xdr:colOff>
      <xdr:row>9</xdr:row>
      <xdr:rowOff>99060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E4C96F5-ED88-4A21-8F89-7B8DE58D455C}"/>
            </a:ext>
          </a:extLst>
        </xdr:cNvPr>
        <xdr:cNvSpPr/>
      </xdr:nvSpPr>
      <xdr:spPr>
        <a:xfrm>
          <a:off x="3596640" y="2712720"/>
          <a:ext cx="358140" cy="20574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26</xdr:row>
      <xdr:rowOff>87630</xdr:rowOff>
    </xdr:from>
    <xdr:to>
      <xdr:col>1</xdr:col>
      <xdr:colOff>2529840</xdr:colOff>
      <xdr:row>41</xdr:row>
      <xdr:rowOff>152400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DCCD57C-773C-0419-24CB-DCB86F2EA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1097280</xdr:colOff>
      <xdr:row>42</xdr:row>
      <xdr:rowOff>15240</xdr:rowOff>
    </xdr:from>
    <xdr:to>
      <xdr:col>1</xdr:col>
      <xdr:colOff>1402080</xdr:colOff>
      <xdr:row>44</xdr:row>
      <xdr:rowOff>129540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8F737CB-649B-45BB-B414-BE7E37BA3A7D}"/>
            </a:ext>
          </a:extLst>
        </xdr:cNvPr>
        <xdr:cNvSpPr/>
      </xdr:nvSpPr>
      <xdr:spPr>
        <a:xfrm>
          <a:off x="1097280" y="9105900"/>
          <a:ext cx="2971800" cy="4800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/>
            <a:t>Younger and older</a:t>
          </a:r>
          <a:r>
            <a:rPr lang="en-US" sz="1100" b="0" baseline="0"/>
            <a:t> drivers show the highest risk. Drivers aged 26-40 show stable loss ratios.</a:t>
          </a:r>
          <a:endParaRPr lang="en-US" sz="1100" b="0"/>
        </a:p>
      </xdr:txBody>
    </xdr:sp>
    <xdr:clientData/>
  </xdr:twoCellAnchor>
  <xdr:twoCellAnchor>
    <xdr:from>
      <xdr:col>2</xdr:col>
      <xdr:colOff>236220</xdr:colOff>
      <xdr:row>26</xdr:row>
      <xdr:rowOff>80010</xdr:rowOff>
    </xdr:from>
    <xdr:to>
      <xdr:col>3</xdr:col>
      <xdr:colOff>2339340</xdr:colOff>
      <xdr:row>41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BAC1B7-9364-B06D-BE69-5DBF0DCF1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1112520</xdr:colOff>
      <xdr:row>42</xdr:row>
      <xdr:rowOff>22860</xdr:rowOff>
    </xdr:from>
    <xdr:to>
      <xdr:col>3</xdr:col>
      <xdr:colOff>1417320</xdr:colOff>
      <xdr:row>44</xdr:row>
      <xdr:rowOff>137160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BBDDDAA-2E14-4060-81F3-FFA4B4C35469}"/>
            </a:ext>
          </a:extLst>
        </xdr:cNvPr>
        <xdr:cNvSpPr/>
      </xdr:nvSpPr>
      <xdr:spPr>
        <a:xfrm>
          <a:off x="6446520" y="9113520"/>
          <a:ext cx="2971800" cy="4800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/>
            <a:t>Winter months show elevated</a:t>
          </a:r>
          <a:r>
            <a:rPr lang="en-US" sz="1100" b="0" baseline="0"/>
            <a:t> frequency as expected with adverse driving conditions.</a:t>
          </a:r>
          <a:endParaRPr lang="en-US" sz="1100" b="0"/>
        </a:p>
      </xdr:txBody>
    </xdr:sp>
    <xdr:clientData/>
  </xdr:twoCellAnchor>
  <xdr:twoCellAnchor>
    <xdr:from>
      <xdr:col>0</xdr:col>
      <xdr:colOff>137160</xdr:colOff>
      <xdr:row>47</xdr:row>
      <xdr:rowOff>2504</xdr:rowOff>
    </xdr:from>
    <xdr:to>
      <xdr:col>3</xdr:col>
      <xdr:colOff>2529839</xdr:colOff>
      <xdr:row>64</xdr:row>
      <xdr:rowOff>62265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983CACF-C955-875A-A2ED-4A49D6EBFB40}"/>
            </a:ext>
          </a:extLst>
        </xdr:cNvPr>
        <xdr:cNvGrpSpPr/>
      </xdr:nvGrpSpPr>
      <xdr:grpSpPr>
        <a:xfrm>
          <a:off x="137160" y="10146629"/>
          <a:ext cx="10165079" cy="3136336"/>
          <a:chOff x="152400" y="10182824"/>
          <a:chExt cx="10393679" cy="3168721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9FD91BB7-EF3C-BEE4-AADE-2F0F7764A773}"/>
              </a:ext>
            </a:extLst>
          </xdr:cNvPr>
          <xdr:cNvSpPr/>
        </xdr:nvSpPr>
        <xdr:spPr>
          <a:xfrm>
            <a:off x="152400" y="10448504"/>
            <a:ext cx="10393679" cy="453600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2" name="Freeform: Shape 11">
            <a:extLst>
              <a:ext uri="{FF2B5EF4-FFF2-40B4-BE49-F238E27FC236}">
                <a16:creationId xmlns:a16="http://schemas.microsoft.com/office/drawing/2014/main" id="{CBA5A20A-B711-01C7-DA6A-9C999D8EB249}"/>
              </a:ext>
            </a:extLst>
          </xdr:cNvPr>
          <xdr:cNvSpPr/>
        </xdr:nvSpPr>
        <xdr:spPr>
          <a:xfrm>
            <a:off x="672084" y="10182824"/>
            <a:ext cx="8517636" cy="531360"/>
          </a:xfrm>
          <a:custGeom>
            <a:avLst/>
            <a:gdLst>
              <a:gd name="csX0" fmla="*/ 0 w 7275576"/>
              <a:gd name="csY0" fmla="*/ 88562 h 531360"/>
              <a:gd name="csX1" fmla="*/ 88562 w 7275576"/>
              <a:gd name="csY1" fmla="*/ 0 h 531360"/>
              <a:gd name="csX2" fmla="*/ 7187014 w 7275576"/>
              <a:gd name="csY2" fmla="*/ 0 h 531360"/>
              <a:gd name="csX3" fmla="*/ 7275576 w 7275576"/>
              <a:gd name="csY3" fmla="*/ 88562 h 531360"/>
              <a:gd name="csX4" fmla="*/ 7275576 w 7275576"/>
              <a:gd name="csY4" fmla="*/ 442798 h 531360"/>
              <a:gd name="csX5" fmla="*/ 7187014 w 7275576"/>
              <a:gd name="csY5" fmla="*/ 531360 h 531360"/>
              <a:gd name="csX6" fmla="*/ 88562 w 7275576"/>
              <a:gd name="csY6" fmla="*/ 531360 h 531360"/>
              <a:gd name="csX7" fmla="*/ 0 w 7275576"/>
              <a:gd name="csY7" fmla="*/ 442798 h 531360"/>
              <a:gd name="csX8" fmla="*/ 0 w 7275576"/>
              <a:gd name="csY8" fmla="*/ 88562 h 53136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275576" h="531360">
                <a:moveTo>
                  <a:pt x="0" y="88562"/>
                </a:moveTo>
                <a:cubicBezTo>
                  <a:pt x="0" y="39651"/>
                  <a:pt x="39651" y="0"/>
                  <a:pt x="88562" y="0"/>
                </a:cubicBezTo>
                <a:lnTo>
                  <a:pt x="7187014" y="0"/>
                </a:lnTo>
                <a:cubicBezTo>
                  <a:pt x="7235925" y="0"/>
                  <a:pt x="7275576" y="39651"/>
                  <a:pt x="7275576" y="88562"/>
                </a:cubicBezTo>
                <a:lnTo>
                  <a:pt x="7275576" y="442798"/>
                </a:lnTo>
                <a:cubicBezTo>
                  <a:pt x="7275576" y="491709"/>
                  <a:pt x="7235925" y="531360"/>
                  <a:pt x="7187014" y="531360"/>
                </a:cubicBezTo>
                <a:lnTo>
                  <a:pt x="88562" y="531360"/>
                </a:lnTo>
                <a:cubicBezTo>
                  <a:pt x="39651" y="531360"/>
                  <a:pt x="0" y="491709"/>
                  <a:pt x="0" y="442798"/>
                </a:cubicBezTo>
                <a:lnTo>
                  <a:pt x="0" y="88562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300938" tIns="25939" rIns="300938" bIns="25939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200" b="1" kern="1200"/>
              <a:t>Sports cars</a:t>
            </a:r>
            <a:r>
              <a:rPr lang="en-US" sz="1200" kern="1200"/>
              <a:t> actually exhibited lower-than-expected loss ratios, indicating </a:t>
            </a:r>
            <a:r>
              <a:rPr lang="en-US" sz="1200" b="1" kern="1200"/>
              <a:t>potential overpricing</a:t>
            </a:r>
            <a:r>
              <a:rPr lang="en-US" sz="1200" kern="1200"/>
              <a:t>.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4A6871A-FB2E-2100-5DB5-67EC206F56ED}"/>
              </a:ext>
            </a:extLst>
          </xdr:cNvPr>
          <xdr:cNvSpPr/>
        </xdr:nvSpPr>
        <xdr:spPr>
          <a:xfrm>
            <a:off x="152400" y="11264984"/>
            <a:ext cx="10393679" cy="453600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4" name="Freeform: Shape 13">
            <a:extLst>
              <a:ext uri="{FF2B5EF4-FFF2-40B4-BE49-F238E27FC236}">
                <a16:creationId xmlns:a16="http://schemas.microsoft.com/office/drawing/2014/main" id="{8FACBC25-3645-43F5-746E-C256E1987D05}"/>
              </a:ext>
            </a:extLst>
          </xdr:cNvPr>
          <xdr:cNvSpPr/>
        </xdr:nvSpPr>
        <xdr:spPr>
          <a:xfrm>
            <a:off x="672084" y="10999304"/>
            <a:ext cx="8502396" cy="531360"/>
          </a:xfrm>
          <a:custGeom>
            <a:avLst/>
            <a:gdLst>
              <a:gd name="csX0" fmla="*/ 0 w 7275576"/>
              <a:gd name="csY0" fmla="*/ 88562 h 531360"/>
              <a:gd name="csX1" fmla="*/ 88562 w 7275576"/>
              <a:gd name="csY1" fmla="*/ 0 h 531360"/>
              <a:gd name="csX2" fmla="*/ 7187014 w 7275576"/>
              <a:gd name="csY2" fmla="*/ 0 h 531360"/>
              <a:gd name="csX3" fmla="*/ 7275576 w 7275576"/>
              <a:gd name="csY3" fmla="*/ 88562 h 531360"/>
              <a:gd name="csX4" fmla="*/ 7275576 w 7275576"/>
              <a:gd name="csY4" fmla="*/ 442798 h 531360"/>
              <a:gd name="csX5" fmla="*/ 7187014 w 7275576"/>
              <a:gd name="csY5" fmla="*/ 531360 h 531360"/>
              <a:gd name="csX6" fmla="*/ 88562 w 7275576"/>
              <a:gd name="csY6" fmla="*/ 531360 h 531360"/>
              <a:gd name="csX7" fmla="*/ 0 w 7275576"/>
              <a:gd name="csY7" fmla="*/ 442798 h 531360"/>
              <a:gd name="csX8" fmla="*/ 0 w 7275576"/>
              <a:gd name="csY8" fmla="*/ 88562 h 53136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275576" h="531360">
                <a:moveTo>
                  <a:pt x="0" y="88562"/>
                </a:moveTo>
                <a:cubicBezTo>
                  <a:pt x="0" y="39651"/>
                  <a:pt x="39651" y="0"/>
                  <a:pt x="88562" y="0"/>
                </a:cubicBezTo>
                <a:lnTo>
                  <a:pt x="7187014" y="0"/>
                </a:lnTo>
                <a:cubicBezTo>
                  <a:pt x="7235925" y="0"/>
                  <a:pt x="7275576" y="39651"/>
                  <a:pt x="7275576" y="88562"/>
                </a:cubicBezTo>
                <a:lnTo>
                  <a:pt x="7275576" y="442798"/>
                </a:lnTo>
                <a:cubicBezTo>
                  <a:pt x="7275576" y="491709"/>
                  <a:pt x="7235925" y="531360"/>
                  <a:pt x="7187014" y="531360"/>
                </a:cubicBezTo>
                <a:lnTo>
                  <a:pt x="88562" y="531360"/>
                </a:lnTo>
                <a:cubicBezTo>
                  <a:pt x="39651" y="531360"/>
                  <a:pt x="0" y="491709"/>
                  <a:pt x="0" y="442798"/>
                </a:cubicBezTo>
                <a:lnTo>
                  <a:pt x="0" y="88562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300938" tIns="25939" rIns="300938" bIns="25939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200" b="1" kern="1200"/>
              <a:t>Hybrid</a:t>
            </a:r>
            <a:r>
              <a:rPr lang="en-US" sz="1200" kern="1200"/>
              <a:t> vehicles showed elevated loss ratios, suggesting </a:t>
            </a:r>
            <a:r>
              <a:rPr lang="en-US" sz="1200" b="1" kern="1200"/>
              <a:t>underpricing</a:t>
            </a:r>
            <a:r>
              <a:rPr lang="en-US" sz="1200" kern="1200"/>
              <a:t>.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1093E5A-EF25-E802-F86E-841A1C72C989}"/>
              </a:ext>
            </a:extLst>
          </xdr:cNvPr>
          <xdr:cNvSpPr/>
        </xdr:nvSpPr>
        <xdr:spPr>
          <a:xfrm>
            <a:off x="152400" y="12081464"/>
            <a:ext cx="10393679" cy="453600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6" name="Freeform: Shape 15">
            <a:extLst>
              <a:ext uri="{FF2B5EF4-FFF2-40B4-BE49-F238E27FC236}">
                <a16:creationId xmlns:a16="http://schemas.microsoft.com/office/drawing/2014/main" id="{33EEBE02-324F-A1FD-31EC-7F7D2F4BE98C}"/>
              </a:ext>
            </a:extLst>
          </xdr:cNvPr>
          <xdr:cNvSpPr/>
        </xdr:nvSpPr>
        <xdr:spPr>
          <a:xfrm>
            <a:off x="672084" y="11815785"/>
            <a:ext cx="8494776" cy="531360"/>
          </a:xfrm>
          <a:custGeom>
            <a:avLst/>
            <a:gdLst>
              <a:gd name="csX0" fmla="*/ 0 w 7275576"/>
              <a:gd name="csY0" fmla="*/ 88562 h 531360"/>
              <a:gd name="csX1" fmla="*/ 88562 w 7275576"/>
              <a:gd name="csY1" fmla="*/ 0 h 531360"/>
              <a:gd name="csX2" fmla="*/ 7187014 w 7275576"/>
              <a:gd name="csY2" fmla="*/ 0 h 531360"/>
              <a:gd name="csX3" fmla="*/ 7275576 w 7275576"/>
              <a:gd name="csY3" fmla="*/ 88562 h 531360"/>
              <a:gd name="csX4" fmla="*/ 7275576 w 7275576"/>
              <a:gd name="csY4" fmla="*/ 442798 h 531360"/>
              <a:gd name="csX5" fmla="*/ 7187014 w 7275576"/>
              <a:gd name="csY5" fmla="*/ 531360 h 531360"/>
              <a:gd name="csX6" fmla="*/ 88562 w 7275576"/>
              <a:gd name="csY6" fmla="*/ 531360 h 531360"/>
              <a:gd name="csX7" fmla="*/ 0 w 7275576"/>
              <a:gd name="csY7" fmla="*/ 442798 h 531360"/>
              <a:gd name="csX8" fmla="*/ 0 w 7275576"/>
              <a:gd name="csY8" fmla="*/ 88562 h 53136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275576" h="531360">
                <a:moveTo>
                  <a:pt x="0" y="88562"/>
                </a:moveTo>
                <a:cubicBezTo>
                  <a:pt x="0" y="39651"/>
                  <a:pt x="39651" y="0"/>
                  <a:pt x="88562" y="0"/>
                </a:cubicBezTo>
                <a:lnTo>
                  <a:pt x="7187014" y="0"/>
                </a:lnTo>
                <a:cubicBezTo>
                  <a:pt x="7235925" y="0"/>
                  <a:pt x="7275576" y="39651"/>
                  <a:pt x="7275576" y="88562"/>
                </a:cubicBezTo>
                <a:lnTo>
                  <a:pt x="7275576" y="442798"/>
                </a:lnTo>
                <a:cubicBezTo>
                  <a:pt x="7275576" y="491709"/>
                  <a:pt x="7235925" y="531360"/>
                  <a:pt x="7187014" y="531360"/>
                </a:cubicBezTo>
                <a:lnTo>
                  <a:pt x="88562" y="531360"/>
                </a:lnTo>
                <a:cubicBezTo>
                  <a:pt x="39651" y="531360"/>
                  <a:pt x="0" y="491709"/>
                  <a:pt x="0" y="442798"/>
                </a:cubicBezTo>
                <a:lnTo>
                  <a:pt x="0" y="88562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300938" tIns="25939" rIns="300938" bIns="25939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200" kern="1200"/>
              <a:t>Younger and older drivers had higher claim frequency, but only </a:t>
            </a:r>
            <a:r>
              <a:rPr lang="en-US" sz="1200" b="1" kern="1200"/>
              <a:t>older</a:t>
            </a:r>
            <a:r>
              <a:rPr lang="en-US" sz="1200" kern="1200"/>
              <a:t> drivers showed a high loss ratio suggesting </a:t>
            </a:r>
            <a:r>
              <a:rPr lang="en-US" sz="1200" b="1" kern="1200"/>
              <a:t>underpricing</a:t>
            </a:r>
            <a:r>
              <a:rPr lang="en-US" sz="1200" kern="1200"/>
              <a:t>.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12560DAE-55A2-FEEB-2FF2-C8F991D9240F}"/>
              </a:ext>
            </a:extLst>
          </xdr:cNvPr>
          <xdr:cNvSpPr/>
        </xdr:nvSpPr>
        <xdr:spPr>
          <a:xfrm>
            <a:off x="152400" y="12897945"/>
            <a:ext cx="10393679" cy="453600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8" name="Freeform: Shape 17">
            <a:extLst>
              <a:ext uri="{FF2B5EF4-FFF2-40B4-BE49-F238E27FC236}">
                <a16:creationId xmlns:a16="http://schemas.microsoft.com/office/drawing/2014/main" id="{CA438FC3-C235-FDF2-209A-A8FD71C976EB}"/>
              </a:ext>
            </a:extLst>
          </xdr:cNvPr>
          <xdr:cNvSpPr/>
        </xdr:nvSpPr>
        <xdr:spPr>
          <a:xfrm>
            <a:off x="672084" y="12632264"/>
            <a:ext cx="8502396" cy="531360"/>
          </a:xfrm>
          <a:custGeom>
            <a:avLst/>
            <a:gdLst>
              <a:gd name="csX0" fmla="*/ 0 w 7275576"/>
              <a:gd name="csY0" fmla="*/ 88562 h 531360"/>
              <a:gd name="csX1" fmla="*/ 88562 w 7275576"/>
              <a:gd name="csY1" fmla="*/ 0 h 531360"/>
              <a:gd name="csX2" fmla="*/ 7187014 w 7275576"/>
              <a:gd name="csY2" fmla="*/ 0 h 531360"/>
              <a:gd name="csX3" fmla="*/ 7275576 w 7275576"/>
              <a:gd name="csY3" fmla="*/ 88562 h 531360"/>
              <a:gd name="csX4" fmla="*/ 7275576 w 7275576"/>
              <a:gd name="csY4" fmla="*/ 442798 h 531360"/>
              <a:gd name="csX5" fmla="*/ 7187014 w 7275576"/>
              <a:gd name="csY5" fmla="*/ 531360 h 531360"/>
              <a:gd name="csX6" fmla="*/ 88562 w 7275576"/>
              <a:gd name="csY6" fmla="*/ 531360 h 531360"/>
              <a:gd name="csX7" fmla="*/ 0 w 7275576"/>
              <a:gd name="csY7" fmla="*/ 442798 h 531360"/>
              <a:gd name="csX8" fmla="*/ 0 w 7275576"/>
              <a:gd name="csY8" fmla="*/ 88562 h 53136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275576" h="531360">
                <a:moveTo>
                  <a:pt x="0" y="88562"/>
                </a:moveTo>
                <a:cubicBezTo>
                  <a:pt x="0" y="39651"/>
                  <a:pt x="39651" y="0"/>
                  <a:pt x="88562" y="0"/>
                </a:cubicBezTo>
                <a:lnTo>
                  <a:pt x="7187014" y="0"/>
                </a:lnTo>
                <a:cubicBezTo>
                  <a:pt x="7235925" y="0"/>
                  <a:pt x="7275576" y="39651"/>
                  <a:pt x="7275576" y="88562"/>
                </a:cubicBezTo>
                <a:lnTo>
                  <a:pt x="7275576" y="442798"/>
                </a:lnTo>
                <a:cubicBezTo>
                  <a:pt x="7275576" y="491709"/>
                  <a:pt x="7235925" y="531360"/>
                  <a:pt x="7187014" y="531360"/>
                </a:cubicBezTo>
                <a:lnTo>
                  <a:pt x="88562" y="531360"/>
                </a:lnTo>
                <a:cubicBezTo>
                  <a:pt x="39651" y="531360"/>
                  <a:pt x="0" y="491709"/>
                  <a:pt x="0" y="442798"/>
                </a:cubicBezTo>
                <a:lnTo>
                  <a:pt x="0" y="88562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300938" tIns="25939" rIns="300938" bIns="25939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200" b="1" kern="1200"/>
              <a:t>Winter</a:t>
            </a:r>
            <a:r>
              <a:rPr lang="en-US" sz="1200" kern="1200"/>
              <a:t> months and a small spike during holiday months demonstrated </a:t>
            </a:r>
            <a:r>
              <a:rPr lang="en-US" sz="1200" b="1" kern="1200"/>
              <a:t>increased claim</a:t>
            </a:r>
            <a:r>
              <a:rPr lang="en-US" sz="1200" kern="1200"/>
              <a:t> activity.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3A8DB-7470-422C-B0B4-3F2518B04C9D}" name="Summary" displayName="Summary" ref="A2:G3" headerRowDxfId="41" dataDxfId="40" totalsRowDxfId="39">
  <autoFilter ref="A2:G3" xr:uid="{2143A8DB-7470-422C-B0B4-3F2518B04C9D}"/>
  <tableColumns count="7">
    <tableColumn id="1" xr3:uid="{B4EF1E38-B063-4B31-945C-810EFC1BFDD8}" name="total_policies" totalsRowLabel="Total" dataDxfId="38"/>
    <tableColumn id="2" xr3:uid="{4D96877D-8CEC-41DE-BDCE-A513977D2A51}" name="total_claims" dataDxfId="37"/>
    <tableColumn id="3" xr3:uid="{6E8C2E8A-896B-4989-81C2-D6443AFAC354}" name="claim_freq" dataDxfId="36"/>
    <tableColumn id="4" xr3:uid="{2BA3515B-8B0B-4AE3-A6A1-125E595AFC96}" name="avg_severity" dataDxfId="35" dataCellStyle="Currency"/>
    <tableColumn id="5" xr3:uid="{31A69CE6-4F86-4732-864C-F6509F4294FB}" name="total_premium" dataDxfId="34" dataCellStyle="Currency"/>
    <tableColumn id="6" xr3:uid="{FB782543-5BE1-44AF-B645-149B8BAE8C83}" name="total_loss" dataDxfId="33" dataCellStyle="Currency"/>
    <tableColumn id="7" xr3:uid="{6210E889-9C65-4985-9C9E-EA8C1DB84E8A}" name="loss_ratio" totalsRowFunction="sum" dataDxfId="32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54513-E667-49EC-8840-BADC75378845}" name="Vehicle" displayName="Vehicle" ref="A2:H8" totalsRowCount="1" headerRowDxfId="31" dataDxfId="30">
  <autoFilter ref="A2:H7" xr:uid="{1E154513-E667-49EC-8840-BADC75378845}"/>
  <sortState xmlns:xlrd2="http://schemas.microsoft.com/office/spreadsheetml/2017/richdata2" ref="A3:H7">
    <sortCondition descending="1" ref="H2:H7"/>
  </sortState>
  <tableColumns count="8">
    <tableColumn id="1" xr3:uid="{D2FB8BAE-78E7-4905-8E96-0D39B471FF27}" name="vehicle_type" totalsRowLabel="Total" dataDxfId="28" totalsRowDxfId="29"/>
    <tableColumn id="2" xr3:uid="{7EDF69EE-4775-45FE-8B28-CB7D0C1090CB}" name="policies" totalsRowFunction="sum" dataDxfId="26" totalsRowDxfId="27"/>
    <tableColumn id="3" xr3:uid="{6D9936D1-EC8A-4699-9684-9AC35054CFCB}" name="claims" totalsRowFunction="sum" dataDxfId="24" totalsRowDxfId="25"/>
    <tableColumn id="4" xr3:uid="{0808AA99-1C41-4AAC-BC07-7471C3921265}" name="frequency" dataDxfId="22" totalsRowDxfId="23"/>
    <tableColumn id="5" xr3:uid="{F42B5BAB-5693-4D06-AF18-80233D5F477C}" name="avg_severity" dataDxfId="20" totalsRowDxfId="21"/>
    <tableColumn id="6" xr3:uid="{AA8B8274-1C5F-4CE6-90A6-363C36FB0129}" name="total_prem" totalsRowFunction="sum" dataDxfId="18" totalsRowDxfId="19" dataCellStyle="Currency" totalsRowCellStyle="Currency"/>
    <tableColumn id="7" xr3:uid="{F189719B-36D0-4B00-A682-A2F9E2C326A6}" name="total_loss" totalsRowFunction="sum" dataDxfId="16" totalsRowDxfId="17" dataCellStyle="Currency" totalsRowCellStyle="Currency"/>
    <tableColumn id="8" xr3:uid="{7EFD0B50-F7B5-487D-9F5A-435E97C4F68E}" name="loss_ratio" dataDxfId="14" totalsRowDxfId="15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0C1C25-1E85-4C8E-B6CC-39F63C36A933}" name="Age" displayName="Age" ref="A2:F7" totalsRowCount="1" headerRowDxfId="13" dataDxfId="12">
  <autoFilter ref="A2:F6" xr:uid="{3B0C1C25-1E85-4C8E-B6CC-39F63C36A933}"/>
  <sortState xmlns:xlrd2="http://schemas.microsoft.com/office/spreadsheetml/2017/richdata2" ref="A3:F6">
    <sortCondition ref="A2:A6"/>
  </sortState>
  <tableColumns count="6">
    <tableColumn id="1" xr3:uid="{6B974EC7-8C75-4321-A2FB-57594E3726FD}" name="age_groups" totalsRowLabel="Total" dataDxfId="10" totalsRowDxfId="11"/>
    <tableColumn id="2" xr3:uid="{68FA5F2F-8914-4907-90C3-5C211ABFE0F8}" name="policies" totalsRowFunction="sum" dataDxfId="8" totalsRowDxfId="9"/>
    <tableColumn id="3" xr3:uid="{9D7A7113-F87F-4EA4-A69B-182E20AEFEC7}" name="claims" totalsRowFunction="sum" dataDxfId="6" totalsRowDxfId="7"/>
    <tableColumn id="4" xr3:uid="{53301379-C73B-4A11-8C3E-D8D69E2628F1}" name="frequency" dataDxfId="4" totalsRowDxfId="5"/>
    <tableColumn id="5" xr3:uid="{E88AAEA0-DAEB-4F24-A60A-03BF0C2CB45D}" name="severity" dataDxfId="2" totalsRowDxfId="3" dataCellStyle="Currency"/>
    <tableColumn id="6" xr3:uid="{F36B03EF-C354-4EE0-8C73-577DD26DA8CD}" name="loss_ratio" dataDxfId="0" totalsRowDxfId="1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C6C9C5-5A90-462C-91CF-D6A9AD80291A}" name="Table4" displayName="Table4" ref="A2:D15" totalsRowCount="1">
  <autoFilter ref="A2:D14" xr:uid="{B4C6C9C5-5A90-462C-91CF-D6A9AD80291A}"/>
  <tableColumns count="4">
    <tableColumn id="1" xr3:uid="{DE3819D4-7FA6-4C54-BC04-4E01FA8212B6}" name="month" totalsRowLabel="Total"/>
    <tableColumn id="2" xr3:uid="{E9DFC650-C0AF-47B3-8DFA-F06A460756B5}" name="claims" totalsRowFunction="sum"/>
    <tableColumn id="3" xr3:uid="{17494F6C-199D-4A2B-8666-7EE8C7AD06CC}" name="frequency" totalsRowFunction="sum"/>
    <tableColumn id="4" xr3:uid="{A2620035-71C1-4778-A3F2-E04719F325F3}" name="severity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2F7A-2379-4E05-879A-8A9D9CBD264E}">
  <dimension ref="A1:D65"/>
  <sheetViews>
    <sheetView tabSelected="1" topLeftCell="A4" workbookViewId="0">
      <selection activeCell="F49" sqref="F49"/>
    </sheetView>
  </sheetViews>
  <sheetFormatPr defaultRowHeight="14.45"/>
  <cols>
    <col min="1" max="4" width="38.85546875" customWidth="1"/>
  </cols>
  <sheetData>
    <row r="1" spans="1:4" ht="37.15" thickBot="1">
      <c r="A1" s="10" t="s">
        <v>0</v>
      </c>
      <c r="B1" s="10"/>
      <c r="C1" s="10"/>
      <c r="D1" s="10"/>
    </row>
    <row r="2" spans="1:4" ht="32.450000000000003" thickTop="1" thickBot="1">
      <c r="A2" s="9" t="s">
        <v>1</v>
      </c>
      <c r="B2" s="9"/>
      <c r="C2" s="9"/>
      <c r="D2" s="9"/>
    </row>
    <row r="3" spans="1:4" ht="18.600000000000001" thickBot="1">
      <c r="A3" s="2" t="s">
        <v>2</v>
      </c>
      <c r="B3" s="2" t="s">
        <v>3</v>
      </c>
      <c r="C3" s="2" t="s">
        <v>4</v>
      </c>
      <c r="D3" s="2" t="s">
        <v>5</v>
      </c>
    </row>
    <row r="4" spans="1:4" ht="43.9" customHeight="1" thickBot="1">
      <c r="A4" s="3">
        <v>10000</v>
      </c>
      <c r="B4" s="3">
        <v>949</v>
      </c>
      <c r="C4" s="4">
        <v>4075.03</v>
      </c>
      <c r="D4" s="3">
        <v>0.68130000000000002</v>
      </c>
    </row>
    <row r="5" spans="1:4" ht="32.450000000000003" thickTop="1" thickBot="1">
      <c r="A5" s="9" t="s">
        <v>6</v>
      </c>
      <c r="B5" s="9"/>
      <c r="C5" s="9"/>
      <c r="D5" s="9"/>
    </row>
    <row r="6" spans="1:4">
      <c r="A6" s="7"/>
      <c r="B6" s="7"/>
      <c r="C6" s="7"/>
      <c r="D6" s="7"/>
    </row>
    <row r="7" spans="1:4">
      <c r="A7" s="8"/>
      <c r="B7" s="8"/>
      <c r="C7" s="8"/>
      <c r="D7" s="8"/>
    </row>
    <row r="8" spans="1:4">
      <c r="A8" s="8"/>
      <c r="B8" s="8"/>
      <c r="C8" s="8"/>
      <c r="D8" s="8"/>
    </row>
    <row r="9" spans="1:4">
      <c r="A9" s="8"/>
      <c r="B9" s="8"/>
      <c r="C9" s="8"/>
      <c r="D9" s="8"/>
    </row>
    <row r="10" spans="1:4">
      <c r="A10" s="8"/>
      <c r="B10" s="8"/>
      <c r="C10" s="8"/>
      <c r="D10" s="8"/>
    </row>
    <row r="11" spans="1:4">
      <c r="A11" s="8"/>
      <c r="B11" s="8"/>
      <c r="C11" s="8"/>
      <c r="D11" s="8"/>
    </row>
    <row r="12" spans="1:4">
      <c r="A12" s="8"/>
      <c r="B12" s="8"/>
      <c r="C12" s="8"/>
      <c r="D12" s="8"/>
    </row>
    <row r="13" spans="1:4">
      <c r="A13" s="8"/>
      <c r="B13" s="8"/>
      <c r="C13" s="8"/>
      <c r="D13" s="8"/>
    </row>
    <row r="14" spans="1:4">
      <c r="A14" s="8"/>
      <c r="B14" s="8"/>
      <c r="C14" s="8"/>
      <c r="D14" s="8"/>
    </row>
    <row r="15" spans="1:4">
      <c r="A15" s="8"/>
      <c r="B15" s="8"/>
      <c r="C15" s="8"/>
      <c r="D15" s="8"/>
    </row>
    <row r="16" spans="1:4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 ht="15" thickBot="1">
      <c r="A25" s="11"/>
      <c r="B25" s="11"/>
      <c r="C25" s="11"/>
      <c r="D25" s="11"/>
    </row>
    <row r="26" spans="1:4" ht="32.450000000000003" thickTop="1" thickBot="1">
      <c r="A26" s="9" t="s">
        <v>7</v>
      </c>
      <c r="B26" s="12"/>
      <c r="C26" s="9" t="s">
        <v>8</v>
      </c>
      <c r="D26" s="9"/>
    </row>
    <row r="27" spans="1:4">
      <c r="A27" s="7"/>
      <c r="B27" s="7"/>
      <c r="C27" s="7"/>
      <c r="D27" s="7"/>
    </row>
    <row r="28" spans="1:4">
      <c r="A28" s="8"/>
      <c r="B28" s="8"/>
      <c r="C28" s="8"/>
      <c r="D28" s="8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A43" s="8"/>
      <c r="B43" s="8"/>
      <c r="C43" s="8"/>
      <c r="D43" s="8"/>
    </row>
    <row r="44" spans="1:4">
      <c r="A44" s="8"/>
      <c r="B44" s="8"/>
      <c r="C44" s="8"/>
      <c r="D44" s="8"/>
    </row>
    <row r="45" spans="1:4" ht="15" thickBot="1">
      <c r="A45" s="8"/>
      <c r="B45" s="8"/>
      <c r="C45" s="8"/>
      <c r="D45" s="8"/>
    </row>
    <row r="46" spans="1:4" ht="32.450000000000003" thickTop="1" thickBot="1">
      <c r="A46" s="9" t="s">
        <v>9</v>
      </c>
      <c r="B46" s="9"/>
      <c r="C46" s="9"/>
      <c r="D46" s="9"/>
    </row>
    <row r="47" spans="1:4">
      <c r="A47" s="7"/>
      <c r="B47" s="7"/>
      <c r="C47" s="7"/>
      <c r="D47" s="7"/>
    </row>
    <row r="48" spans="1:4">
      <c r="A48" s="8"/>
      <c r="B48" s="8"/>
      <c r="C48" s="8"/>
      <c r="D48" s="8"/>
    </row>
    <row r="49" spans="1:4">
      <c r="A49" s="8"/>
      <c r="B49" s="8"/>
      <c r="C49" s="8"/>
      <c r="D49" s="8"/>
    </row>
    <row r="50" spans="1:4">
      <c r="A50" s="8"/>
      <c r="B50" s="8"/>
      <c r="C50" s="8"/>
      <c r="D50" s="8"/>
    </row>
    <row r="51" spans="1:4">
      <c r="A51" s="8"/>
      <c r="B51" s="8"/>
      <c r="C51" s="8"/>
      <c r="D51" s="8"/>
    </row>
    <row r="52" spans="1:4">
      <c r="A52" s="8"/>
      <c r="B52" s="8"/>
      <c r="C52" s="8"/>
      <c r="D52" s="8"/>
    </row>
    <row r="53" spans="1:4">
      <c r="A53" s="8"/>
      <c r="B53" s="8"/>
      <c r="C53" s="8"/>
      <c r="D53" s="8"/>
    </row>
    <row r="54" spans="1:4">
      <c r="A54" s="8"/>
      <c r="B54" s="8"/>
      <c r="C54" s="8"/>
      <c r="D54" s="8"/>
    </row>
    <row r="55" spans="1:4">
      <c r="A55" s="8"/>
      <c r="B55" s="8"/>
      <c r="C55" s="8"/>
      <c r="D55" s="8"/>
    </row>
    <row r="56" spans="1:4">
      <c r="A56" s="8"/>
      <c r="B56" s="8"/>
      <c r="C56" s="8"/>
      <c r="D56" s="8"/>
    </row>
    <row r="57" spans="1:4">
      <c r="A57" s="8"/>
      <c r="B57" s="8"/>
      <c r="C57" s="8"/>
      <c r="D57" s="8"/>
    </row>
    <row r="58" spans="1:4">
      <c r="A58" s="8"/>
      <c r="B58" s="8"/>
      <c r="C58" s="8"/>
      <c r="D58" s="8"/>
    </row>
    <row r="59" spans="1:4">
      <c r="A59" s="8"/>
      <c r="B59" s="8"/>
      <c r="C59" s="8"/>
      <c r="D59" s="8"/>
    </row>
    <row r="60" spans="1:4">
      <c r="A60" s="8"/>
      <c r="B60" s="8"/>
      <c r="C60" s="8"/>
      <c r="D60" s="8"/>
    </row>
    <row r="61" spans="1:4">
      <c r="A61" s="8"/>
      <c r="B61" s="8"/>
      <c r="C61" s="8"/>
      <c r="D61" s="8"/>
    </row>
    <row r="62" spans="1:4">
      <c r="A62" s="8"/>
      <c r="B62" s="8"/>
      <c r="C62" s="8"/>
      <c r="D62" s="8"/>
    </row>
    <row r="63" spans="1:4">
      <c r="A63" s="8"/>
      <c r="B63" s="8"/>
      <c r="C63" s="8"/>
      <c r="D63" s="8"/>
    </row>
    <row r="64" spans="1:4">
      <c r="A64" s="8"/>
      <c r="B64" s="8"/>
      <c r="C64" s="8"/>
      <c r="D64" s="8"/>
    </row>
    <row r="65" spans="1:4">
      <c r="A65" s="8"/>
      <c r="B65" s="8"/>
      <c r="C65" s="8"/>
      <c r="D65" s="8"/>
    </row>
  </sheetData>
  <mergeCells count="10">
    <mergeCell ref="A27:B45"/>
    <mergeCell ref="C27:D45"/>
    <mergeCell ref="A46:D46"/>
    <mergeCell ref="A47:D65"/>
    <mergeCell ref="A1:D1"/>
    <mergeCell ref="A2:D2"/>
    <mergeCell ref="A5:D5"/>
    <mergeCell ref="A6:D25"/>
    <mergeCell ref="C26:D26"/>
    <mergeCell ref="A26:B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F10" sqref="F10"/>
    </sheetView>
  </sheetViews>
  <sheetFormatPr defaultRowHeight="14.45"/>
  <cols>
    <col min="1" max="7" width="18" customWidth="1"/>
  </cols>
  <sheetData>
    <row r="1" spans="1:7" ht="31.9" thickBot="1">
      <c r="A1" s="13" t="s">
        <v>10</v>
      </c>
      <c r="B1" s="13"/>
      <c r="C1" s="13"/>
      <c r="D1" s="13"/>
      <c r="E1" s="13"/>
      <c r="F1" s="13"/>
      <c r="G1" s="13"/>
    </row>
    <row r="2" spans="1:7" ht="15.6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1:7" ht="15.6">
      <c r="A3" s="1">
        <v>10000</v>
      </c>
      <c r="B3" s="1">
        <v>949</v>
      </c>
      <c r="C3" s="1">
        <v>9.4899999999999998E-2</v>
      </c>
      <c r="D3" s="6">
        <v>4075.03</v>
      </c>
      <c r="E3" s="6">
        <v>5676221.5999999996</v>
      </c>
      <c r="F3" s="6">
        <v>3867203.54</v>
      </c>
      <c r="G3" s="1">
        <v>0.68130000000000002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1936-2C29-485E-8652-C21666830C3D}">
  <dimension ref="A1:H8"/>
  <sheetViews>
    <sheetView workbookViewId="0">
      <selection activeCell="F9" sqref="F9"/>
    </sheetView>
  </sheetViews>
  <sheetFormatPr defaultRowHeight="14.45"/>
  <cols>
    <col min="1" max="8" width="16.28515625" customWidth="1"/>
  </cols>
  <sheetData>
    <row r="1" spans="1:8" ht="31.9" thickBot="1">
      <c r="A1" s="13" t="s">
        <v>18</v>
      </c>
      <c r="B1" s="13"/>
      <c r="C1" s="13"/>
      <c r="D1" s="13"/>
      <c r="E1" s="13"/>
      <c r="F1" s="13"/>
      <c r="G1" s="13"/>
      <c r="H1" s="13"/>
    </row>
    <row r="2" spans="1:8" ht="15.6">
      <c r="A2" s="1" t="s">
        <v>19</v>
      </c>
      <c r="B2" s="1" t="s">
        <v>20</v>
      </c>
      <c r="C2" s="1" t="s">
        <v>21</v>
      </c>
      <c r="D2" s="1" t="s">
        <v>22</v>
      </c>
      <c r="E2" s="1" t="s">
        <v>14</v>
      </c>
      <c r="F2" s="1" t="s">
        <v>23</v>
      </c>
      <c r="G2" s="1" t="s">
        <v>16</v>
      </c>
      <c r="H2" s="1" t="s">
        <v>17</v>
      </c>
    </row>
    <row r="3" spans="1:8" ht="15.6">
      <c r="A3" s="1" t="s">
        <v>24</v>
      </c>
      <c r="B3" s="1">
        <v>2028</v>
      </c>
      <c r="C3" s="1">
        <v>164</v>
      </c>
      <c r="D3" s="1">
        <v>8.09E-2</v>
      </c>
      <c r="E3" s="5">
        <v>3432.27</v>
      </c>
      <c r="F3" s="6">
        <v>663096</v>
      </c>
      <c r="G3" s="6">
        <v>562892.67000000004</v>
      </c>
      <c r="H3" s="1">
        <v>0.84889999999999999</v>
      </c>
    </row>
    <row r="4" spans="1:8" ht="15.6">
      <c r="A4" s="1" t="s">
        <v>25</v>
      </c>
      <c r="B4" s="1">
        <v>2032</v>
      </c>
      <c r="C4" s="1">
        <v>200</v>
      </c>
      <c r="D4" s="1">
        <v>9.8400000000000001E-2</v>
      </c>
      <c r="E4" s="5">
        <v>3067.92</v>
      </c>
      <c r="F4" s="6">
        <v>800889.6</v>
      </c>
      <c r="G4" s="6">
        <v>613584.12</v>
      </c>
      <c r="H4" s="1">
        <v>0.7661</v>
      </c>
    </row>
    <row r="5" spans="1:8" ht="15.6">
      <c r="A5" s="1" t="s">
        <v>26</v>
      </c>
      <c r="B5" s="1">
        <v>1925</v>
      </c>
      <c r="C5" s="1">
        <v>157</v>
      </c>
      <c r="D5" s="1">
        <v>8.1600000000000006E-2</v>
      </c>
      <c r="E5" s="5">
        <v>3009.48</v>
      </c>
      <c r="F5" s="6">
        <v>627032</v>
      </c>
      <c r="G5" s="6">
        <v>472488.28</v>
      </c>
      <c r="H5" s="1">
        <v>0.75349999999999995</v>
      </c>
    </row>
    <row r="6" spans="1:8" ht="15.6">
      <c r="A6" s="1" t="s">
        <v>27</v>
      </c>
      <c r="B6" s="1">
        <v>2016</v>
      </c>
      <c r="C6" s="1">
        <v>145</v>
      </c>
      <c r="D6" s="1">
        <v>7.1900000000000006E-2</v>
      </c>
      <c r="E6" s="5">
        <v>2999.42</v>
      </c>
      <c r="F6" s="6">
        <v>656712</v>
      </c>
      <c r="G6" s="6">
        <v>434915.95</v>
      </c>
      <c r="H6" s="1">
        <v>0.6623</v>
      </c>
    </row>
    <row r="7" spans="1:8" ht="15.6">
      <c r="A7" s="1" t="s">
        <v>28</v>
      </c>
      <c r="B7" s="1">
        <v>1999</v>
      </c>
      <c r="C7" s="1">
        <v>283</v>
      </c>
      <c r="D7" s="1">
        <v>0.1416</v>
      </c>
      <c r="E7" s="5">
        <v>6301.49</v>
      </c>
      <c r="F7" s="6">
        <v>2928492</v>
      </c>
      <c r="G7" s="6">
        <v>1783322.52</v>
      </c>
      <c r="H7" s="1">
        <v>0.60899999999999999</v>
      </c>
    </row>
    <row r="8" spans="1:8" ht="15.6">
      <c r="A8" s="1" t="s">
        <v>29</v>
      </c>
      <c r="B8" s="1">
        <f>SUBTOTAL(109,Vehicle[policies])</f>
        <v>10000</v>
      </c>
      <c r="C8" s="1">
        <f>SUBTOTAL(109,Vehicle[claims])</f>
        <v>949</v>
      </c>
      <c r="D8" s="1"/>
      <c r="E8" s="1"/>
      <c r="F8" s="6">
        <f>SUBTOTAL(109,Vehicle[total_prem])</f>
        <v>5676221.5999999996</v>
      </c>
      <c r="G8" s="6">
        <f>SUBTOTAL(109,Vehicle[total_loss])</f>
        <v>3867203.54</v>
      </c>
      <c r="H8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720F-7418-4F1D-B0A7-D61B6D578A6B}">
  <dimension ref="A1:F7"/>
  <sheetViews>
    <sheetView workbookViewId="0">
      <selection activeCell="F3" sqref="F3"/>
    </sheetView>
  </sheetViews>
  <sheetFormatPr defaultRowHeight="14.45"/>
  <cols>
    <col min="1" max="6" width="19.7109375" customWidth="1"/>
  </cols>
  <sheetData>
    <row r="1" spans="1:6" ht="31.9" thickBot="1">
      <c r="A1" s="13" t="s">
        <v>30</v>
      </c>
      <c r="B1" s="13"/>
      <c r="C1" s="13"/>
      <c r="D1" s="13"/>
      <c r="E1" s="13"/>
      <c r="F1" s="13"/>
    </row>
    <row r="2" spans="1:6" ht="15.6">
      <c r="A2" s="1" t="s">
        <v>31</v>
      </c>
      <c r="B2" s="1" t="s">
        <v>20</v>
      </c>
      <c r="C2" s="1" t="s">
        <v>21</v>
      </c>
      <c r="D2" s="1" t="s">
        <v>22</v>
      </c>
      <c r="E2" s="1" t="s">
        <v>32</v>
      </c>
      <c r="F2" s="1" t="s">
        <v>17</v>
      </c>
    </row>
    <row r="3" spans="1:6" ht="15.6">
      <c r="A3" s="1" t="s">
        <v>33</v>
      </c>
      <c r="B3" s="1">
        <v>1365</v>
      </c>
      <c r="C3" s="1">
        <v>166</v>
      </c>
      <c r="D3" s="1">
        <v>0.1216</v>
      </c>
      <c r="E3" s="6">
        <v>3804.04</v>
      </c>
      <c r="F3" s="1">
        <v>0.62939999999999996</v>
      </c>
    </row>
    <row r="4" spans="1:6" ht="15.6">
      <c r="A4" s="1" t="s">
        <v>34</v>
      </c>
      <c r="B4" s="1">
        <v>2691</v>
      </c>
      <c r="C4" s="1">
        <v>216</v>
      </c>
      <c r="D4" s="1">
        <v>8.0299999999999996E-2</v>
      </c>
      <c r="E4" s="6">
        <v>4125.59</v>
      </c>
      <c r="F4" s="1">
        <v>0.67710000000000004</v>
      </c>
    </row>
    <row r="5" spans="1:6" ht="15.6">
      <c r="A5" s="1" t="s">
        <v>35</v>
      </c>
      <c r="B5" s="1">
        <v>4360</v>
      </c>
      <c r="C5" s="1">
        <v>358</v>
      </c>
      <c r="D5" s="1">
        <v>8.2100000000000006E-2</v>
      </c>
      <c r="E5" s="6">
        <v>4087.04</v>
      </c>
      <c r="F5" s="1">
        <v>0.68769999999999998</v>
      </c>
    </row>
    <row r="6" spans="1:6" ht="15.6">
      <c r="A6" s="1" t="s">
        <v>36</v>
      </c>
      <c r="B6" s="1">
        <v>1584</v>
      </c>
      <c r="C6" s="1">
        <v>209</v>
      </c>
      <c r="D6" s="1">
        <v>0.13189999999999999</v>
      </c>
      <c r="E6" s="6">
        <v>4217.4399999999996</v>
      </c>
      <c r="F6" s="1">
        <v>0.71719999999999995</v>
      </c>
    </row>
    <row r="7" spans="1:6" ht="15.6">
      <c r="A7" s="1" t="s">
        <v>29</v>
      </c>
      <c r="B7" s="1">
        <f>SUBTOTAL(109,Age[policies])</f>
        <v>10000</v>
      </c>
      <c r="C7" s="1">
        <f>SUBTOTAL(109,Age[claims])</f>
        <v>949</v>
      </c>
      <c r="D7" s="1"/>
      <c r="E7" s="1"/>
      <c r="F7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7065-4E9D-4E6C-BD51-C1B42801E4C6}">
  <dimension ref="A1:D15"/>
  <sheetViews>
    <sheetView workbookViewId="0">
      <selection activeCell="A2" sqref="A2:B14"/>
    </sheetView>
  </sheetViews>
  <sheetFormatPr defaultRowHeight="14.45"/>
  <cols>
    <col min="1" max="4" width="25.42578125" customWidth="1"/>
    <col min="5" max="5" width="9" bestFit="1" customWidth="1"/>
  </cols>
  <sheetData>
    <row r="1" spans="1:4" ht="31.9" thickBot="1">
      <c r="A1" s="13" t="s">
        <v>8</v>
      </c>
      <c r="B1" s="13"/>
      <c r="C1" s="13"/>
      <c r="D1" s="13"/>
    </row>
    <row r="2" spans="1:4">
      <c r="A2" t="s">
        <v>37</v>
      </c>
      <c r="B2" t="s">
        <v>21</v>
      </c>
      <c r="C2" t="s">
        <v>22</v>
      </c>
      <c r="D2" t="s">
        <v>32</v>
      </c>
    </row>
    <row r="3" spans="1:4">
      <c r="A3" t="s">
        <v>38</v>
      </c>
      <c r="B3">
        <v>112</v>
      </c>
      <c r="C3">
        <v>1.12E-2</v>
      </c>
      <c r="D3">
        <v>3752.11</v>
      </c>
    </row>
    <row r="4" spans="1:4">
      <c r="A4" t="s">
        <v>39</v>
      </c>
      <c r="B4">
        <v>95</v>
      </c>
      <c r="C4">
        <v>9.4999999999999998E-3</v>
      </c>
      <c r="D4">
        <v>4066.17</v>
      </c>
    </row>
    <row r="5" spans="1:4">
      <c r="A5" t="s">
        <v>40</v>
      </c>
      <c r="B5">
        <v>73</v>
      </c>
      <c r="C5">
        <v>7.3000000000000001E-3</v>
      </c>
      <c r="D5">
        <v>4345.67</v>
      </c>
    </row>
    <row r="6" spans="1:4">
      <c r="A6" t="s">
        <v>41</v>
      </c>
      <c r="B6">
        <v>58</v>
      </c>
      <c r="C6">
        <v>5.7999999999999996E-3</v>
      </c>
      <c r="D6">
        <v>3413.67</v>
      </c>
    </row>
    <row r="7" spans="1:4">
      <c r="A7" t="s">
        <v>42</v>
      </c>
      <c r="B7">
        <v>56</v>
      </c>
      <c r="C7">
        <v>5.5999999999999999E-3</v>
      </c>
      <c r="D7">
        <v>3631.17</v>
      </c>
    </row>
    <row r="8" spans="1:4">
      <c r="A8" t="s">
        <v>43</v>
      </c>
      <c r="B8">
        <v>60</v>
      </c>
      <c r="C8">
        <v>6.0000000000000001E-3</v>
      </c>
      <c r="D8">
        <v>4289.1099999999997</v>
      </c>
    </row>
    <row r="9" spans="1:4">
      <c r="A9" t="s">
        <v>44</v>
      </c>
      <c r="B9">
        <v>62</v>
      </c>
      <c r="C9">
        <v>6.1999999999999998E-3</v>
      </c>
      <c r="D9">
        <v>4405.08</v>
      </c>
    </row>
    <row r="10" spans="1:4">
      <c r="A10" t="s">
        <v>45</v>
      </c>
      <c r="B10">
        <v>87</v>
      </c>
      <c r="C10">
        <v>8.6999999999999994E-3</v>
      </c>
      <c r="D10">
        <v>4071.62</v>
      </c>
    </row>
    <row r="11" spans="1:4">
      <c r="A11" t="s">
        <v>46</v>
      </c>
      <c r="B11">
        <v>68</v>
      </c>
      <c r="C11">
        <v>6.7999999999999996E-3</v>
      </c>
      <c r="D11">
        <v>4685.63</v>
      </c>
    </row>
    <row r="12" spans="1:4">
      <c r="A12" t="s">
        <v>47</v>
      </c>
      <c r="B12">
        <v>79</v>
      </c>
      <c r="C12">
        <v>7.9000000000000008E-3</v>
      </c>
      <c r="D12">
        <v>4759.46</v>
      </c>
    </row>
    <row r="13" spans="1:4">
      <c r="A13" t="s">
        <v>48</v>
      </c>
      <c r="B13">
        <v>98</v>
      </c>
      <c r="C13">
        <v>9.7999999999999997E-3</v>
      </c>
      <c r="D13">
        <v>3793.65</v>
      </c>
    </row>
    <row r="14" spans="1:4">
      <c r="A14" t="s">
        <v>49</v>
      </c>
      <c r="B14">
        <v>101</v>
      </c>
      <c r="C14">
        <v>1.01E-2</v>
      </c>
      <c r="D14">
        <v>3871.48</v>
      </c>
    </row>
    <row r="15" spans="1:4">
      <c r="A15" t="s">
        <v>29</v>
      </c>
      <c r="B15">
        <f>SUBTOTAL(109,Table4[claims])</f>
        <v>949</v>
      </c>
      <c r="C15">
        <f>SUBTOTAL(109,Table4[frequency])</f>
        <v>9.4899999999999998E-2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Krishnan Radhakrishnan</dc:creator>
  <cp:keywords/>
  <dc:description/>
  <cp:lastModifiedBy/>
  <cp:revision/>
  <dcterms:created xsi:type="dcterms:W3CDTF">2015-06-05T18:17:20Z</dcterms:created>
  <dcterms:modified xsi:type="dcterms:W3CDTF">2026-05-03T00:59:16Z</dcterms:modified>
  <cp:category/>
  <cp:contentStatus/>
</cp:coreProperties>
</file>